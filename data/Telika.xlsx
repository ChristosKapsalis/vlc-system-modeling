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1662c36fecae59/Υπολογιστής/Physics.uoa/8ο εξάμηνο/Πτυχιακή/Τιμές Πειράματος/"/>
    </mc:Choice>
  </mc:AlternateContent>
  <xr:revisionPtr revIDLastSave="161" documentId="8_{C61CF45E-A7C3-4653-AF5C-9651CBA41820}" xr6:coauthVersionLast="47" xr6:coauthVersionMax="47" xr10:uidLastSave="{1CA46A88-A6E8-4499-BBB7-A91B73C0D30D}"/>
  <bookViews>
    <workbookView xWindow="-96" yWindow="0" windowWidth="11712" windowHeight="12336" xr2:uid="{24BA6857-C3C1-42DE-AC2B-69A1BC4DC5E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6" i="1"/>
  <c r="I37" i="1"/>
  <c r="I38" i="1"/>
  <c r="I39" i="1"/>
  <c r="I40" i="1"/>
  <c r="I41" i="1"/>
  <c r="I42" i="1"/>
  <c r="I43" i="1"/>
  <c r="I44" i="1"/>
  <c r="I34" i="1"/>
  <c r="H34" i="1"/>
  <c r="G47" i="1"/>
  <c r="F47" i="1"/>
  <c r="F44" i="1"/>
  <c r="G4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G34" i="1"/>
  <c r="F34" i="1"/>
  <c r="G19" i="1"/>
  <c r="G20" i="1"/>
  <c r="G21" i="1"/>
  <c r="G22" i="1"/>
  <c r="G23" i="1"/>
  <c r="G24" i="1"/>
  <c r="G25" i="1"/>
  <c r="G26" i="1"/>
  <c r="G27" i="1"/>
  <c r="G28" i="1"/>
  <c r="G18" i="1"/>
  <c r="G31" i="1" s="1"/>
  <c r="F19" i="1"/>
  <c r="F20" i="1"/>
  <c r="F21" i="1"/>
  <c r="F22" i="1"/>
  <c r="F23" i="1"/>
  <c r="F24" i="1"/>
  <c r="F25" i="1"/>
  <c r="F26" i="1"/>
  <c r="F27" i="1"/>
  <c r="F28" i="1"/>
  <c r="F18" i="1"/>
  <c r="G3" i="1"/>
  <c r="G4" i="1"/>
  <c r="G5" i="1"/>
  <c r="G6" i="1"/>
  <c r="G7" i="1"/>
  <c r="G8" i="1"/>
  <c r="G9" i="1"/>
  <c r="G10" i="1"/>
  <c r="G11" i="1"/>
  <c r="G12" i="1"/>
  <c r="G2" i="1"/>
  <c r="F10" i="1"/>
  <c r="F11" i="1"/>
  <c r="F12" i="1"/>
  <c r="F3" i="1"/>
  <c r="F4" i="1"/>
  <c r="F5" i="1"/>
  <c r="F6" i="1"/>
  <c r="F7" i="1"/>
  <c r="F8" i="1"/>
  <c r="F9" i="1"/>
  <c r="F2" i="1"/>
  <c r="F31" i="1" l="1"/>
  <c r="H18" i="1" s="1"/>
  <c r="I23" i="1" s="1"/>
  <c r="G15" i="1"/>
  <c r="F15" i="1"/>
  <c r="I18" i="1" l="1"/>
  <c r="I27" i="1"/>
  <c r="I24" i="1"/>
  <c r="I26" i="1"/>
  <c r="I22" i="1"/>
  <c r="I20" i="1"/>
  <c r="I25" i="1"/>
  <c r="I28" i="1"/>
  <c r="I21" i="1"/>
  <c r="I19" i="1"/>
  <c r="H2" i="1"/>
  <c r="I8" i="1" s="1"/>
  <c r="I3" i="1"/>
  <c r="I4" i="1"/>
  <c r="I5" i="1"/>
  <c r="I6" i="1"/>
  <c r="I7" i="1"/>
  <c r="I2" i="1" l="1"/>
  <c r="I12" i="1"/>
  <c r="I11" i="1"/>
  <c r="I10" i="1"/>
  <c r="I9" i="1"/>
</calcChain>
</file>

<file path=xl/sharedStrings.xml><?xml version="1.0" encoding="utf-8"?>
<sst xmlns="http://schemas.openxmlformats.org/spreadsheetml/2006/main" count="29" uniqueCount="19">
  <si>
    <t>D_1</t>
  </si>
  <si>
    <t>S_1</t>
  </si>
  <si>
    <t>D_2</t>
  </si>
  <si>
    <t>S_2</t>
  </si>
  <si>
    <t>D_3</t>
  </si>
  <si>
    <t>S_3</t>
  </si>
  <si>
    <t>V_1</t>
  </si>
  <si>
    <t>V_2</t>
  </si>
  <si>
    <t>V_3</t>
  </si>
  <si>
    <t>SV</t>
  </si>
  <si>
    <t>s^2</t>
  </si>
  <si>
    <t>ki</t>
  </si>
  <si>
    <t>Sum</t>
  </si>
  <si>
    <t>V_theo1</t>
  </si>
  <si>
    <t>linear</t>
  </si>
  <si>
    <t>sum</t>
  </si>
  <si>
    <t>D_4</t>
  </si>
  <si>
    <t>S_4</t>
  </si>
  <si>
    <t>V_4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</si>
</sst>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4964-01DE-4139-BD7E-0C19205FB99D}">
  <dimension ref="A1:V47"/>
  <sheetViews>
    <sheetView tabSelected="1" zoomScale="73" zoomScaleNormal="71" workbookViewId="0">
      <selection activeCell="U2" sqref="U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6</v>
      </c>
      <c r="E1" t="s">
        <v>14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L1" t="s">
        <v>2</v>
      </c>
      <c r="M1" t="s">
        <v>3</v>
      </c>
      <c r="N1" t="s">
        <v>7</v>
      </c>
      <c r="P1" t="s">
        <v>4</v>
      </c>
      <c r="Q1" t="s">
        <v>5</v>
      </c>
      <c r="R1" t="s">
        <v>8</v>
      </c>
      <c r="T1" t="s">
        <v>16</v>
      </c>
      <c r="U1" t="s">
        <v>18</v>
      </c>
      <c r="V1" t="s">
        <v>17</v>
      </c>
    </row>
    <row r="2" spans="1:22" x14ac:dyDescent="0.3">
      <c r="A2">
        <v>0.25</v>
      </c>
      <c r="B2">
        <v>16</v>
      </c>
      <c r="C2">
        <v>2.3552052785923752</v>
      </c>
      <c r="F2">
        <f t="shared" ref="F2:F12" si="0">B2*C2</f>
        <v>37.683284457478003</v>
      </c>
      <c r="G2">
        <f t="shared" ref="G2:G12" si="1">B2^2</f>
        <v>256</v>
      </c>
      <c r="H2">
        <f>F15/G15</f>
        <v>0.11244228571075586</v>
      </c>
      <c r="I2">
        <f t="shared" ref="I2:I12" si="2">B2*$H$2</f>
        <v>1.7990765713720938</v>
      </c>
      <c r="L2">
        <v>0.25079872407968906</v>
      </c>
      <c r="M2">
        <v>15.797149435978572</v>
      </c>
      <c r="N2">
        <v>2.3704789833822093</v>
      </c>
      <c r="P2">
        <v>0.25495097567963926</v>
      </c>
      <c r="Q2">
        <v>14.792899408284022</v>
      </c>
      <c r="R2">
        <v>2.1780303030303032</v>
      </c>
      <c r="T2">
        <v>0.3</v>
      </c>
      <c r="U2">
        <v>1.0905425219941349</v>
      </c>
      <c r="V2">
        <v>11.111111111111111</v>
      </c>
    </row>
    <row r="3" spans="1:22" x14ac:dyDescent="0.3">
      <c r="A3">
        <v>0.26</v>
      </c>
      <c r="B3">
        <v>14.792899408284022</v>
      </c>
      <c r="C3">
        <v>1.9623655913978495</v>
      </c>
      <c r="F3">
        <f t="shared" si="0"/>
        <v>29.029076795826171</v>
      </c>
      <c r="G3">
        <f t="shared" si="1"/>
        <v>218.82987290360975</v>
      </c>
      <c r="I3">
        <f t="shared" si="2"/>
        <v>1.6633474217567432</v>
      </c>
      <c r="L3">
        <v>0.26076809620810598</v>
      </c>
      <c r="M3">
        <v>14.619377162629752</v>
      </c>
      <c r="N3">
        <v>1.9709188660801564</v>
      </c>
      <c r="P3">
        <v>0.26476404589747454</v>
      </c>
      <c r="Q3">
        <v>13.756585761933733</v>
      </c>
      <c r="R3">
        <v>1.8737781036168133</v>
      </c>
      <c r="T3">
        <v>0.30066592756745814</v>
      </c>
      <c r="U3">
        <v>1.0954301075268817</v>
      </c>
      <c r="V3">
        <v>11.013000234944009</v>
      </c>
    </row>
    <row r="4" spans="1:22" x14ac:dyDescent="0.3">
      <c r="A4">
        <v>0.27</v>
      </c>
      <c r="B4">
        <v>13.717421124828531</v>
      </c>
      <c r="C4">
        <v>1.6575024437927663</v>
      </c>
      <c r="F4">
        <f t="shared" si="0"/>
        <v>22.736659036937809</v>
      </c>
      <c r="G4">
        <f t="shared" si="1"/>
        <v>188.16764231589204</v>
      </c>
      <c r="I4">
        <f t="shared" si="2"/>
        <v>1.5424181853327277</v>
      </c>
      <c r="L4">
        <v>0.27073972741361768</v>
      </c>
      <c r="M4">
        <v>13.568116972430106</v>
      </c>
      <c r="N4">
        <v>1.6648338220918866</v>
      </c>
      <c r="P4">
        <v>0.27459060435491961</v>
      </c>
      <c r="Q4">
        <v>12.822858107775325</v>
      </c>
      <c r="R4">
        <v>1.6025171065493646</v>
      </c>
      <c r="T4">
        <v>0.30265491900843111</v>
      </c>
      <c r="U4">
        <v>1.0880987292277615</v>
      </c>
      <c r="V4">
        <v>10.726340077420339</v>
      </c>
    </row>
    <row r="5" spans="1:22" x14ac:dyDescent="0.3">
      <c r="A5">
        <v>0.28000000000000003</v>
      </c>
      <c r="B5">
        <v>12.755102040816325</v>
      </c>
      <c r="C5">
        <v>1.4216764418377321</v>
      </c>
      <c r="F5">
        <f t="shared" si="0"/>
        <v>18.133628084664949</v>
      </c>
      <c r="G5">
        <f t="shared" si="1"/>
        <v>162.69262807163679</v>
      </c>
      <c r="I5">
        <f t="shared" si="2"/>
        <v>1.4342128279433144</v>
      </c>
      <c r="L5">
        <v>0.28071337695236404</v>
      </c>
      <c r="M5">
        <v>12.625937282589087</v>
      </c>
      <c r="N5">
        <v>1.4332844574780059</v>
      </c>
      <c r="P5">
        <v>0.28442925306655786</v>
      </c>
      <c r="Q5">
        <v>11.978957372330134</v>
      </c>
      <c r="R5">
        <v>1.3776881720430108</v>
      </c>
      <c r="T5">
        <v>0.3059411708155671</v>
      </c>
      <c r="U5">
        <v>1.0599951124144673</v>
      </c>
      <c r="V5">
        <v>10.272846811308348</v>
      </c>
    </row>
    <row r="6" spans="1:22" x14ac:dyDescent="0.3">
      <c r="A6">
        <v>0.28999999999999998</v>
      </c>
      <c r="B6">
        <v>11.890606420927469</v>
      </c>
      <c r="C6">
        <v>1.2365591397849462</v>
      </c>
      <c r="F6">
        <f t="shared" si="0"/>
        <v>14.703438047383429</v>
      </c>
      <c r="G6">
        <f t="shared" si="1"/>
        <v>141.38652105740155</v>
      </c>
      <c r="I6">
        <f t="shared" si="2"/>
        <v>1.3370069644560747</v>
      </c>
      <c r="L6">
        <v>0.29068883707497267</v>
      </c>
      <c r="M6">
        <v>11.77829907916389</v>
      </c>
      <c r="N6">
        <v>1.2457233626588464</v>
      </c>
      <c r="P6">
        <v>0.29427877939124319</v>
      </c>
      <c r="Q6">
        <v>11.213991220818285</v>
      </c>
      <c r="R6">
        <v>1.2163978494623655</v>
      </c>
      <c r="T6">
        <v>0.31048349392520047</v>
      </c>
      <c r="U6">
        <v>1.0141739980449658</v>
      </c>
      <c r="V6">
        <v>9.6847506069110381</v>
      </c>
    </row>
    <row r="7" spans="1:22" x14ac:dyDescent="0.3">
      <c r="A7">
        <v>0.3</v>
      </c>
      <c r="B7">
        <v>11.111111111111111</v>
      </c>
      <c r="C7">
        <v>1.0856549364613881</v>
      </c>
      <c r="F7">
        <f t="shared" si="0"/>
        <v>12.062832627348756</v>
      </c>
      <c r="G7">
        <f t="shared" si="1"/>
        <v>123.45679012345678</v>
      </c>
      <c r="I7">
        <f t="shared" si="2"/>
        <v>1.2493587301195095</v>
      </c>
      <c r="L7">
        <v>0.30066592756745814</v>
      </c>
      <c r="M7">
        <v>11.013000234944009</v>
      </c>
      <c r="N7">
        <v>1.094208211143695</v>
      </c>
      <c r="P7">
        <v>0.30413812651491096</v>
      </c>
      <c r="Q7">
        <v>10.518626734842949</v>
      </c>
      <c r="R7">
        <v>1.0654936461388074</v>
      </c>
      <c r="T7">
        <v>0.31622776601683794</v>
      </c>
      <c r="U7">
        <v>0.94880254154447707</v>
      </c>
      <c r="V7">
        <v>8.9999999999999982</v>
      </c>
    </row>
    <row r="8" spans="1:22" x14ac:dyDescent="0.3">
      <c r="A8">
        <v>0.31</v>
      </c>
      <c r="B8">
        <v>10.40582726326743</v>
      </c>
      <c r="C8">
        <v>0.95735581622678401</v>
      </c>
      <c r="F8">
        <f t="shared" si="0"/>
        <v>9.9620792531403115</v>
      </c>
      <c r="G8">
        <f t="shared" si="1"/>
        <v>108.28124103295973</v>
      </c>
      <c r="I8">
        <f t="shared" si="2"/>
        <v>1.1700550021930891</v>
      </c>
      <c r="L8">
        <v>0.31064449134018135</v>
      </c>
      <c r="M8">
        <v>10.319740127251736</v>
      </c>
      <c r="N8">
        <v>0.96224340175953083</v>
      </c>
      <c r="P8">
        <v>0.31400636936215165</v>
      </c>
      <c r="Q8">
        <v>9.8848380367744753</v>
      </c>
      <c r="R8">
        <v>0.94452590420332361</v>
      </c>
      <c r="T8">
        <v>0.32310988842807026</v>
      </c>
      <c r="U8">
        <v>0.82294721407624638</v>
      </c>
      <c r="V8">
        <v>8.2573655700885151</v>
      </c>
    </row>
    <row r="9" spans="1:22" x14ac:dyDescent="0.3">
      <c r="A9">
        <v>0.32</v>
      </c>
      <c r="B9">
        <v>9.765625</v>
      </c>
      <c r="C9">
        <v>0.85838220918866082</v>
      </c>
      <c r="F9">
        <f t="shared" si="0"/>
        <v>8.3826387616080158</v>
      </c>
      <c r="G9">
        <f t="shared" si="1"/>
        <v>95.367431640625</v>
      </c>
      <c r="I9">
        <f t="shared" si="2"/>
        <v>1.0980691963941003</v>
      </c>
      <c r="L9">
        <v>0.32062439083762795</v>
      </c>
      <c r="M9">
        <v>9.6897757725325118</v>
      </c>
      <c r="N9">
        <v>0.86388074291300099</v>
      </c>
      <c r="P9">
        <v>0.32388269481403298</v>
      </c>
      <c r="Q9">
        <v>9.3056985589798646</v>
      </c>
      <c r="R9">
        <v>0.84738514173998047</v>
      </c>
    </row>
    <row r="10" spans="1:22" x14ac:dyDescent="0.3">
      <c r="A10">
        <v>0.33</v>
      </c>
      <c r="B10">
        <v>9.1827364554637274</v>
      </c>
      <c r="C10">
        <v>0.77223851417399803</v>
      </c>
      <c r="F10">
        <f t="shared" si="0"/>
        <v>7.0912627564187138</v>
      </c>
      <c r="G10">
        <f t="shared" si="1"/>
        <v>84.322648810502542</v>
      </c>
      <c r="I10">
        <f t="shared" si="2"/>
        <v>1.032527876131826</v>
      </c>
      <c r="L10">
        <v>0.3306055050963308</v>
      </c>
      <c r="M10">
        <v>9.1156481945743071</v>
      </c>
      <c r="N10">
        <v>0.76307429130009774</v>
      </c>
      <c r="P10">
        <v>0.33376638536557274</v>
      </c>
      <c r="Q10">
        <v>8.7752095897166456</v>
      </c>
      <c r="R10">
        <v>0.7532991202346041</v>
      </c>
    </row>
    <row r="11" spans="1:22" x14ac:dyDescent="0.3">
      <c r="A11">
        <v>0.34</v>
      </c>
      <c r="B11">
        <v>8.6505190311418669</v>
      </c>
      <c r="C11">
        <v>0.69159335288367552</v>
      </c>
      <c r="F11">
        <f t="shared" si="0"/>
        <v>5.9826414609314478</v>
      </c>
      <c r="G11">
        <f t="shared" si="1"/>
        <v>74.831479508147623</v>
      </c>
      <c r="I11">
        <f t="shared" si="2"/>
        <v>0.97268413244598473</v>
      </c>
      <c r="L11">
        <v>0.34058772731852804</v>
      </c>
      <c r="M11">
        <v>8.5909631391200936</v>
      </c>
      <c r="N11">
        <v>0.69586999022482898</v>
      </c>
      <c r="P11">
        <v>0.34365680554879169</v>
      </c>
      <c r="Q11">
        <v>8.2881583296349728</v>
      </c>
      <c r="R11">
        <v>0.68670576735092859</v>
      </c>
    </row>
    <row r="12" spans="1:22" x14ac:dyDescent="0.3">
      <c r="A12">
        <v>0.35000000000000003</v>
      </c>
      <c r="B12">
        <v>8.1632653061224474</v>
      </c>
      <c r="C12">
        <v>0.62988758553274682</v>
      </c>
      <c r="F12">
        <f t="shared" si="0"/>
        <v>5.1419394737367075</v>
      </c>
      <c r="G12">
        <f t="shared" si="1"/>
        <v>66.638900458142416</v>
      </c>
      <c r="I12">
        <f t="shared" si="2"/>
        <v>0.91789620988372111</v>
      </c>
      <c r="L12">
        <v>0.35057096285916212</v>
      </c>
      <c r="M12">
        <v>8.1102141692393133</v>
      </c>
      <c r="N12">
        <v>0.6262218963831867</v>
      </c>
      <c r="P12">
        <v>0.35355339059327379</v>
      </c>
      <c r="Q12">
        <v>7.839999999999999</v>
      </c>
      <c r="R12">
        <v>0.62866568914956011</v>
      </c>
    </row>
    <row r="14" spans="1:22" x14ac:dyDescent="0.3">
      <c r="F14" t="s">
        <v>12</v>
      </c>
    </row>
    <row r="15" spans="1:22" x14ac:dyDescent="0.3">
      <c r="F15">
        <f>SUM(F2:F12)</f>
        <v>170.90948075547431</v>
      </c>
      <c r="G15">
        <f>SUM(G2:G12)</f>
        <v>1519.9751559223744</v>
      </c>
    </row>
    <row r="17" spans="6:9" x14ac:dyDescent="0.3">
      <c r="F17" t="s">
        <v>9</v>
      </c>
      <c r="G17" t="s">
        <v>10</v>
      </c>
      <c r="H17" t="s">
        <v>11</v>
      </c>
      <c r="I17" t="s">
        <v>13</v>
      </c>
    </row>
    <row r="18" spans="6:9" x14ac:dyDescent="0.3">
      <c r="F18">
        <f t="shared" ref="F18:F28" si="3">M2*N2</f>
        <v>37.446810735335326</v>
      </c>
      <c r="G18">
        <f t="shared" ref="G18:G28" si="4">M2^2</f>
        <v>249.5499303026381</v>
      </c>
      <c r="H18">
        <f>F31/G31</f>
        <v>0.11409270339169154</v>
      </c>
      <c r="I18">
        <f t="shared" ref="I18:I28" si="5">M2*$H$18</f>
        <v>1.8023394850333305</v>
      </c>
    </row>
    <row r="19" spans="6:9" x14ac:dyDescent="0.3">
      <c r="F19">
        <f t="shared" si="3"/>
        <v>28.813606260168363</v>
      </c>
      <c r="G19">
        <f t="shared" si="4"/>
        <v>213.72618862322034</v>
      </c>
      <c r="I19">
        <f t="shared" si="5"/>
        <v>1.6679642623871853</v>
      </c>
    </row>
    <row r="20" spans="6:9" x14ac:dyDescent="0.3">
      <c r="F20">
        <f t="shared" si="3"/>
        <v>22.588660037800611</v>
      </c>
      <c r="G20">
        <f t="shared" si="4"/>
        <v>184.09379817754592</v>
      </c>
      <c r="I20">
        <f t="shared" si="5"/>
        <v>1.5480231453192439</v>
      </c>
    </row>
    <row r="21" spans="6:9" x14ac:dyDescent="0.3">
      <c r="F21">
        <f t="shared" si="3"/>
        <v>18.096559668227027</v>
      </c>
      <c r="G21">
        <f t="shared" si="4"/>
        <v>159.41429226387308</v>
      </c>
      <c r="I21">
        <f t="shared" si="5"/>
        <v>1.4405273174245365</v>
      </c>
    </row>
    <row r="22" spans="6:9" x14ac:dyDescent="0.3">
      <c r="F22">
        <f t="shared" si="3"/>
        <v>14.672502335297636</v>
      </c>
      <c r="G22">
        <f t="shared" si="4"/>
        <v>138.72832919823296</v>
      </c>
      <c r="I22">
        <f t="shared" si="5"/>
        <v>1.3438179832976793</v>
      </c>
    </row>
    <row r="23" spans="6:9" x14ac:dyDescent="0.3">
      <c r="F23">
        <f t="shared" si="3"/>
        <v>12.050515286403177</v>
      </c>
      <c r="G23">
        <f t="shared" si="4"/>
        <v>121.28617417487679</v>
      </c>
      <c r="I23">
        <f t="shared" si="5"/>
        <v>1.256502969258096</v>
      </c>
    </row>
    <row r="24" spans="6:9" x14ac:dyDescent="0.3">
      <c r="F24">
        <f t="shared" si="3"/>
        <v>9.9301018453210439</v>
      </c>
      <c r="G24">
        <f t="shared" si="4"/>
        <v>106.49703629400967</v>
      </c>
      <c r="I24">
        <f t="shared" si="5"/>
        <v>1.1774070494178694</v>
      </c>
    </row>
    <row r="25" spans="6:9" x14ac:dyDescent="0.3">
      <c r="F25">
        <f t="shared" si="3"/>
        <v>8.370810693035784</v>
      </c>
      <c r="G25">
        <f t="shared" si="4"/>
        <v>93.891754521958035</v>
      </c>
      <c r="I25">
        <f t="shared" si="5"/>
        <v>1.1055327131475507</v>
      </c>
    </row>
    <row r="26" spans="6:9" x14ac:dyDescent="0.3">
      <c r="F26">
        <f t="shared" si="3"/>
        <v>6.9559167858158046</v>
      </c>
      <c r="G26">
        <f t="shared" si="4"/>
        <v>83.095042007245823</v>
      </c>
      <c r="I26">
        <f t="shared" si="5"/>
        <v>1.040028945686575</v>
      </c>
    </row>
    <row r="27" spans="6:9" x14ac:dyDescent="0.3">
      <c r="F27">
        <f t="shared" si="3"/>
        <v>5.9781934356413657</v>
      </c>
      <c r="G27">
        <f t="shared" si="4"/>
        <v>73.804647657720167</v>
      </c>
      <c r="I27">
        <f t="shared" si="5"/>
        <v>0.98016620928058418</v>
      </c>
    </row>
    <row r="28" spans="6:9" x14ac:dyDescent="0.3">
      <c r="F28">
        <f t="shared" si="3"/>
        <v>5.0787936971348335</v>
      </c>
      <c r="G28">
        <f t="shared" si="4"/>
        <v>65.775573870930131</v>
      </c>
      <c r="I28">
        <f t="shared" si="5"/>
        <v>0.92531625965411501</v>
      </c>
    </row>
    <row r="30" spans="6:9" x14ac:dyDescent="0.3">
      <c r="F30" t="s">
        <v>12</v>
      </c>
    </row>
    <row r="31" spans="6:9" x14ac:dyDescent="0.3">
      <c r="F31">
        <f>SUM(F18:F28)</f>
        <v>169.98247078018102</v>
      </c>
      <c r="G31">
        <f>SUM(G18:G28)</f>
        <v>1489.862767092251</v>
      </c>
    </row>
    <row r="33" spans="6:9" x14ac:dyDescent="0.3">
      <c r="F33" t="s">
        <v>9</v>
      </c>
      <c r="G33" t="s">
        <v>10</v>
      </c>
      <c r="H33" t="s">
        <v>11</v>
      </c>
      <c r="I33" t="s">
        <v>13</v>
      </c>
    </row>
    <row r="34" spans="6:9" x14ac:dyDescent="0.3">
      <c r="F34">
        <f>Q2*R2</f>
        <v>32.219383180921639</v>
      </c>
      <c r="G34">
        <f>Q2^2</f>
        <v>218.82987290360975</v>
      </c>
      <c r="H34">
        <f>F47/G47</f>
        <v>0.11485511753424571</v>
      </c>
      <c r="I34">
        <f>Q2*$H$34</f>
        <v>1.6990402002107352</v>
      </c>
    </row>
    <row r="35" spans="6:9" x14ac:dyDescent="0.3">
      <c r="F35">
        <f t="shared" ref="F35:F43" si="6">Q3*R3</f>
        <v>25.776789181238247</v>
      </c>
      <c r="G35">
        <f t="shared" ref="G35:G43" si="7">Q3^2</f>
        <v>189.24365182543792</v>
      </c>
      <c r="I35">
        <f t="shared" ref="I35:I44" si="8">Q3*$H$34</f>
        <v>1.58001427455683</v>
      </c>
    </row>
    <row r="36" spans="6:9" x14ac:dyDescent="0.3">
      <c r="F36">
        <f t="shared" si="6"/>
        <v>20.548849472565173</v>
      </c>
      <c r="G36">
        <f t="shared" si="7"/>
        <v>164.42569005213937</v>
      </c>
      <c r="I36">
        <f t="shared" si="8"/>
        <v>1.4727708750934905</v>
      </c>
    </row>
    <row r="37" spans="6:9" x14ac:dyDescent="0.3">
      <c r="F37">
        <f t="shared" si="6"/>
        <v>16.503267885266649</v>
      </c>
      <c r="G37">
        <f t="shared" si="7"/>
        <v>143.49541972810246</v>
      </c>
      <c r="I37">
        <f t="shared" si="8"/>
        <v>1.3758445569366966</v>
      </c>
    </row>
    <row r="38" spans="6:9" x14ac:dyDescent="0.3">
      <c r="F38">
        <f t="shared" si="6"/>
        <v>13.640674804893209</v>
      </c>
      <c r="G38">
        <f t="shared" si="7"/>
        <v>125.75359910058955</v>
      </c>
      <c r="I38">
        <f t="shared" si="8"/>
        <v>1.2879842796950836</v>
      </c>
    </row>
    <row r="39" spans="6:9" x14ac:dyDescent="0.3">
      <c r="F39">
        <f t="shared" si="6"/>
        <v>11.207529952080952</v>
      </c>
      <c r="G39">
        <f t="shared" si="7"/>
        <v>110.64150838695282</v>
      </c>
      <c r="I39">
        <f t="shared" si="8"/>
        <v>1.208118109929246</v>
      </c>
    </row>
    <row r="40" spans="6:9" x14ac:dyDescent="0.3">
      <c r="F40">
        <f t="shared" si="6"/>
        <v>9.3364855845878179</v>
      </c>
      <c r="G40">
        <f t="shared" si="7"/>
        <v>97.710023013263466</v>
      </c>
      <c r="I40">
        <f t="shared" si="8"/>
        <v>1.1353242345207151</v>
      </c>
    </row>
    <row r="41" spans="6:9" x14ac:dyDescent="0.3">
      <c r="F41">
        <f t="shared" si="6"/>
        <v>7.8855106923906844</v>
      </c>
      <c r="G41">
        <f t="shared" si="7"/>
        <v>86.596025670599929</v>
      </c>
      <c r="I41">
        <f t="shared" si="8"/>
        <v>1.0688071017298932</v>
      </c>
    </row>
    <row r="42" spans="6:9" x14ac:dyDescent="0.3">
      <c r="F42">
        <f t="shared" si="6"/>
        <v>6.6103576638078101</v>
      </c>
      <c r="G42">
        <f t="shared" si="7"/>
        <v>77.004303343454978</v>
      </c>
      <c r="I42">
        <f t="shared" si="8"/>
        <v>1.0078777288145453</v>
      </c>
    </row>
    <row r="43" spans="6:9" x14ac:dyDescent="0.3">
      <c r="F43">
        <f t="shared" si="6"/>
        <v>5.6915261256779743</v>
      </c>
      <c r="G43">
        <f t="shared" si="7"/>
        <v>68.693568497097587</v>
      </c>
      <c r="I43">
        <f t="shared" si="8"/>
        <v>0.9519373990926624</v>
      </c>
    </row>
    <row r="44" spans="6:9" x14ac:dyDescent="0.3">
      <c r="F44">
        <f>Q12*R12</f>
        <v>4.9287390029325504</v>
      </c>
      <c r="G44">
        <f>Q12^2</f>
        <v>61.465599999999981</v>
      </c>
      <c r="I44">
        <f t="shared" si="8"/>
        <v>0.9004641214684862</v>
      </c>
    </row>
    <row r="46" spans="6:9" x14ac:dyDescent="0.3">
      <c r="F46" t="s">
        <v>15</v>
      </c>
    </row>
    <row r="47" spans="6:9" x14ac:dyDescent="0.3">
      <c r="F47">
        <f>SUM(F34:F44)</f>
        <v>154.34911354636267</v>
      </c>
      <c r="G47">
        <f>SUM(G34:G44)</f>
        <v>1343.8592625212477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Kapsalis</dc:creator>
  <cp:lastModifiedBy>Christos Kapsalis</cp:lastModifiedBy>
  <dcterms:created xsi:type="dcterms:W3CDTF">2025-09-21T15:37:54Z</dcterms:created>
  <dcterms:modified xsi:type="dcterms:W3CDTF">2025-09-22T11:26:47Z</dcterms:modified>
</cp:coreProperties>
</file>